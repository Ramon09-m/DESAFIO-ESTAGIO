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dos" sheetId="1" r:id="rId4"/>
    <sheet state="visible" name="calculo carteira" sheetId="2" r:id="rId5"/>
  </sheets>
  <definedNames/>
  <calcPr/>
</workbook>
</file>

<file path=xl/sharedStrings.xml><?xml version="1.0" encoding="utf-8"?>
<sst xmlns="http://schemas.openxmlformats.org/spreadsheetml/2006/main" count="24" uniqueCount="20">
  <si>
    <t>Índice</t>
  </si>
  <si>
    <t>Retorno Diário (%)</t>
  </si>
  <si>
    <t>Retorno Mensal (%)</t>
  </si>
  <si>
    <t>Retorno Anual (%)</t>
  </si>
  <si>
    <t>Volatilidade Diária (%)</t>
  </si>
  <si>
    <t>Volatilidade Mensal (%)</t>
  </si>
  <si>
    <t>Volatilidade Anual (%)</t>
  </si>
  <si>
    <t>Índice de Sharpe</t>
  </si>
  <si>
    <t>Ibovespa</t>
  </si>
  <si>
    <t>S&amp;P 500</t>
  </si>
  <si>
    <t>Dolar</t>
  </si>
  <si>
    <t>Ouro</t>
  </si>
  <si>
    <t>Ativo</t>
  </si>
  <si>
    <t>% no portfólio</t>
  </si>
  <si>
    <t>Total investido</t>
  </si>
  <si>
    <t>Risco (Compara a 100 mil reais)</t>
  </si>
  <si>
    <t>Retorno esperado anual (pior cenário)</t>
  </si>
  <si>
    <t>Retorno esperado anual (melhor cenário)</t>
  </si>
  <si>
    <t>Investido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</si>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</sst>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9.0"/>
      <color rgb="FFFFFFFF"/>
      <name val="Calibri"/>
      <scheme val="minor"/>
    </font>
    <font>
      <sz val="9.0"/>
      <color theme="1"/>
      <name val="Calibri"/>
      <scheme val="minor"/>
    </font>
    <font>
      <color theme="1"/>
      <name val="Calibri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top"/>
    </xf>
    <xf borderId="1" fillId="3" fontId="2" numFmtId="0" xfId="0" applyAlignment="1" applyBorder="1" applyFill="1" applyFont="1">
      <alignment horizontal="center"/>
    </xf>
    <xf borderId="1" fillId="3" fontId="2" numFmtId="0" xfId="0" applyAlignment="1" applyBorder="1" applyFont="1">
      <alignment horizontal="center" readingOrder="0"/>
    </xf>
    <xf borderId="1" fillId="4" fontId="3" numFmtId="0" xfId="0" applyAlignment="1" applyBorder="1" applyFill="1" applyFont="1">
      <alignment readingOrder="0"/>
    </xf>
    <xf borderId="1" fillId="0" fontId="3" numFmtId="0" xfId="0" applyAlignment="1" applyBorder="1" applyFont="1">
      <alignment readingOrder="0"/>
    </xf>
    <xf borderId="1" fillId="4" fontId="2" numFmtId="0" xfId="0" applyAlignment="1" applyBorder="1" applyFont="1">
      <alignment horizontal="center"/>
    </xf>
    <xf borderId="1" fillId="4" fontId="3" numFmtId="0" xfId="0" applyBorder="1" applyFont="1"/>
    <xf borderId="1" fillId="0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4.57"/>
    <col customWidth="1" min="3" max="3" width="15.71"/>
    <col customWidth="1" min="4" max="4" width="14.57"/>
    <col customWidth="1" min="5" max="5" width="17.86"/>
    <col customWidth="1" min="6" max="6" width="18.29"/>
    <col customWidth="1" min="7" max="7" width="16.71"/>
    <col customWidth="1" min="8" max="8" width="13.0"/>
    <col customWidth="1" min="9" max="25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2">
        <v>0.08</v>
      </c>
      <c r="C2" s="2">
        <v>1.79</v>
      </c>
      <c r="D2" s="2">
        <v>23.73</v>
      </c>
      <c r="E2" s="2">
        <v>1.39</v>
      </c>
      <c r="F2" s="2">
        <v>6.39</v>
      </c>
      <c r="G2" s="2">
        <v>22.14</v>
      </c>
      <c r="H2" s="2">
        <v>0.85</v>
      </c>
    </row>
    <row r="3">
      <c r="A3" s="2" t="s">
        <v>9</v>
      </c>
      <c r="B3" s="2">
        <v>0.07</v>
      </c>
      <c r="C3" s="2">
        <v>1.41</v>
      </c>
      <c r="D3" s="2">
        <v>18.32</v>
      </c>
      <c r="E3" s="2">
        <v>1.16</v>
      </c>
      <c r="F3" s="2">
        <v>5.3</v>
      </c>
      <c r="G3" s="2">
        <v>18.35</v>
      </c>
      <c r="H3" s="2">
        <v>0.73</v>
      </c>
    </row>
    <row r="4">
      <c r="A4" s="2" t="s">
        <v>10</v>
      </c>
      <c r="B4" s="2">
        <v>0.03</v>
      </c>
      <c r="C4" s="2">
        <v>0.6</v>
      </c>
      <c r="D4" s="2">
        <v>7.46</v>
      </c>
      <c r="E4" s="2">
        <v>1.06</v>
      </c>
      <c r="F4" s="2">
        <v>4.87</v>
      </c>
      <c r="G4" s="2">
        <v>16.87</v>
      </c>
      <c r="H4" s="2">
        <v>0.15</v>
      </c>
    </row>
    <row r="5">
      <c r="A5" s="2" t="s">
        <v>11</v>
      </c>
      <c r="B5" s="2">
        <v>0.02</v>
      </c>
      <c r="C5" s="2">
        <v>0.4</v>
      </c>
      <c r="D5" s="2">
        <v>4.86</v>
      </c>
      <c r="E5" s="2">
        <v>0.79</v>
      </c>
      <c r="F5" s="2">
        <v>3.6</v>
      </c>
      <c r="G5" s="2">
        <v>12.48</v>
      </c>
      <c r="H5" s="3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4" max="4" width="27.71"/>
    <col customWidth="1" min="5" max="6" width="36.29"/>
  </cols>
  <sheetData>
    <row r="1">
      <c r="A1" s="4" t="s">
        <v>12</v>
      </c>
      <c r="B1" s="4" t="s">
        <v>13</v>
      </c>
      <c r="C1" s="4" t="s">
        <v>14</v>
      </c>
      <c r="D1" s="4" t="s">
        <v>15</v>
      </c>
      <c r="E1" s="5" t="s">
        <v>16</v>
      </c>
      <c r="F1" s="5" t="s">
        <v>17</v>
      </c>
      <c r="G1" s="5" t="s">
        <v>18</v>
      </c>
    </row>
    <row r="2">
      <c r="A2" s="6" t="s">
        <v>8</v>
      </c>
      <c r="B2" s="4">
        <v>25.0</v>
      </c>
      <c r="C2" s="7">
        <f t="shared" ref="C2:C5" si="1">$G$2*(B2/100)</f>
        <v>25000</v>
      </c>
      <c r="D2" s="7">
        <f>dados!G2*(B2/100)</f>
        <v>5.535</v>
      </c>
      <c r="E2" s="5">
        <f>(dados!D2-dados!G2*2)</f>
        <v>-20.55</v>
      </c>
      <c r="F2" s="5">
        <f>(dados!D2+dados!G2*2)</f>
        <v>68.01</v>
      </c>
      <c r="G2" s="5">
        <v>100000.0</v>
      </c>
    </row>
    <row r="3">
      <c r="A3" s="6" t="s">
        <v>9</v>
      </c>
      <c r="B3" s="4">
        <v>30.0</v>
      </c>
      <c r="C3" s="7">
        <f t="shared" si="1"/>
        <v>30000</v>
      </c>
      <c r="D3" s="7">
        <f>dados!G3*(B3/100)</f>
        <v>5.505</v>
      </c>
      <c r="E3" s="5">
        <f>(dados!D3-dados!G3*2)</f>
        <v>-18.38</v>
      </c>
      <c r="F3" s="5">
        <f>(dados!D3+dados!G3*2)</f>
        <v>55.02</v>
      </c>
      <c r="G3" s="8"/>
    </row>
    <row r="4">
      <c r="A4" s="6" t="s">
        <v>10</v>
      </c>
      <c r="B4" s="4">
        <v>20.0</v>
      </c>
      <c r="C4" s="7">
        <f t="shared" si="1"/>
        <v>20000</v>
      </c>
      <c r="D4" s="7">
        <f>dados!G4*(B4/100)</f>
        <v>3.374</v>
      </c>
      <c r="E4" s="5">
        <f>(dados!D4-dados!G4*2)</f>
        <v>-26.28</v>
      </c>
      <c r="F4" s="5">
        <f>(dados!D4+dados!G4*2)</f>
        <v>41.2</v>
      </c>
      <c r="G4" s="8"/>
    </row>
    <row r="5">
      <c r="A5" s="6" t="s">
        <v>11</v>
      </c>
      <c r="B5" s="4">
        <v>25.0</v>
      </c>
      <c r="C5" s="7">
        <f t="shared" si="1"/>
        <v>25000</v>
      </c>
      <c r="D5" s="7">
        <f>dados!G5*(B5/100)</f>
        <v>3.12</v>
      </c>
      <c r="E5" s="5">
        <f>(dados!D5-dados!G5*2)</f>
        <v>-20.1</v>
      </c>
      <c r="F5" s="5">
        <f>(dados!D5+dados!G5*2)</f>
        <v>29.82</v>
      </c>
      <c r="G5" s="8"/>
    </row>
    <row r="6">
      <c r="A6" s="4" t="s">
        <v>19</v>
      </c>
      <c r="B6" s="7">
        <f t="shared" ref="B6:D6" si="2">SUM(B2:B5)</f>
        <v>100</v>
      </c>
      <c r="C6" s="7">
        <f t="shared" si="2"/>
        <v>100000</v>
      </c>
      <c r="D6" s="7">
        <f t="shared" si="2"/>
        <v>17.534</v>
      </c>
      <c r="E6" s="8">
        <f t="shared" ref="E6:F6" si="3">(($B$2/100)*E2)+(($B$3/100)*E3)+(($B$4/100)*E4)+(($B$5/100)*E5)</f>
        <v>-20.9325</v>
      </c>
      <c r="F6" s="8">
        <f t="shared" si="3"/>
        <v>49.2035</v>
      </c>
      <c r="G6" s="8"/>
    </row>
  </sheetData>
  <drawing r:id="rId1"/>
</worksheet>
</file>